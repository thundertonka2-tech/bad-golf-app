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ork list" sheetId="1" state="visible" r:id="rId3"/>
    <sheet name="Summary" sheetId="2" state="visible" r:id="rId4"/>
  </sheets>
  <definedNames>
    <definedName function="false" hidden="true" localSheetId="0" name="_xlnm._FilterDatabase" vbProcedure="false">'Work list'!$A$4:$J$33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<sst xmlns="http://schemas.openxmlformats.org/spreadsheetml/2006/main" count="304" uniqueCount="192">
  <si>
    <t xml:space="preserve">Bad Golf — open admin queue</t>
  </si>
  <si>
    <t xml:space="preserve">29 open items — this is the whole queue, read from the live database on 28 Aug 2026 and sorted by what needs doing. 669 dead tickets belonging to 529 courses that had already been deleted from the library were removed from the database on the same date, so the queue and this sheet now match exactly.</t>
  </si>
  <si>
    <t xml:space="preserve">State</t>
  </si>
  <si>
    <t xml:space="preserve">Course</t>
  </si>
  <si>
    <t xml:space="preserve">City</t>
  </si>
  <si>
    <t xml:space="preserve">Action</t>
  </si>
  <si>
    <t xml:space="preserve">What needs doing</t>
  </si>
  <si>
    <t xml:space="preserve">Mapping status</t>
  </si>
  <si>
    <t xml:space="preserve">Rated tees</t>
  </si>
  <si>
    <t xml:space="preserve">Kevin signed off?</t>
  </si>
  <si>
    <t xml:space="preserve">Raised</t>
  </si>
  <si>
    <t xml:space="preserve">Course ID</t>
  </si>
  <si>
    <t xml:space="preserve">AZ</t>
  </si>
  <si>
    <t xml:space="preserve">Gainey Ranch Golf Club</t>
  </si>
  <si>
    <t xml:space="preserve">Scottsdale</t>
  </si>
  <si>
    <t xml:space="preserve">Looks done — tap Complete</t>
  </si>
  <si>
    <t xml:space="preserve">All three nines are fully mapped and the card has 5 rated tees. Nothing outstanding was recorded on the ticket. Open it in Admin and tap the new ✅ Complete button to clear it.</t>
  </si>
  <si>
    <t xml:space="preserve">Arroyo 9/9, Dunes 9/9, Lakes 9/9</t>
  </si>
  <si>
    <t xml:space="preserve">Yes</t>
  </si>
  <si>
    <t xml:space="preserve">2026-08-26</t>
  </si>
  <si>
    <t xml:space="preserve">gainey-ranch-golf-club</t>
  </si>
  <si>
    <t xml:space="preserve">GA</t>
  </si>
  <si>
    <t xml:space="preserve">Valdosta Country Club</t>
  </si>
  <si>
    <t xml:space="preserve">Valdosta</t>
  </si>
  <si>
    <t xml:space="preserve">Map — one new nine</t>
  </si>
  <si>
    <t xml:space="preserve">Your original sign-off stands. The club was later wired as a 27-hole facility, which added a nine that has never been mapped: Plantation. Map that nine only (9 greens + fairway targets) — do NOT remap Bellemeade or Bottom.</t>
  </si>
  <si>
    <t xml:space="preserve">Bellemeade 9/9, Bottom 9/9, Plantation 0/9</t>
  </si>
  <si>
    <t xml:space="preserve">valdosta-country-club</t>
  </si>
  <si>
    <t xml:space="preserve">NJ</t>
  </si>
  <si>
    <t xml:space="preserve">Rockleigh Golf Course</t>
  </si>
  <si>
    <t xml:space="preserve">Rockleigh</t>
  </si>
  <si>
    <t xml:space="preserve">Your original sign-off stands. The club was later wired as a 27-hole facility, which added a nine that has never been mapped: Blue. Map that nine only (9 greens + fairway targets) — do NOT remap Red or White.</t>
  </si>
  <si>
    <t xml:space="preserve">Blue 0/9, Red 9/9, White 9/9</t>
  </si>
  <si>
    <t xml:space="preserve">rockleigh-golf-course</t>
  </si>
  <si>
    <t xml:space="preserve">Little Mill Country Club</t>
  </si>
  <si>
    <t xml:space="preserve">Marlton</t>
  </si>
  <si>
    <t xml:space="preserve">Map the Blue nine only (9 greens + fairway targets). Red and White are done — do not remap them.</t>
  </si>
  <si>
    <t xml:space="preserve">No</t>
  </si>
  <si>
    <t xml:space="preserve">little-mill-country-club</t>
  </si>
  <si>
    <t xml:space="preserve">NY</t>
  </si>
  <si>
    <t xml:space="preserve">Western Turnpike Golf Course</t>
  </si>
  <si>
    <t xml:space="preserve">Guilderland</t>
  </si>
  <si>
    <t xml:space="preserve">18 greens on the original loop; the added nine is unmapped</t>
  </si>
  <si>
    <t xml:space="preserve">western-turnpike-golf-course</t>
  </si>
  <si>
    <t xml:space="preserve">OH</t>
  </si>
  <si>
    <t xml:space="preserve">Shelby Oaks Golf Club</t>
  </si>
  <si>
    <t xml:space="preserve">Sidney</t>
  </si>
  <si>
    <t xml:space="preserve">Your original sign-off stands. The club was later wired as a 27-hole facility, which added a nine that has never been mapped: North. Map that nine only (9 greens + fairway targets) — do NOT remap South or West.</t>
  </si>
  <si>
    <t xml:space="preserve">shelby-oaks-golf-club</t>
  </si>
  <si>
    <t xml:space="preserve">WI</t>
  </si>
  <si>
    <t xml:space="preserve">North Shore Country Club</t>
  </si>
  <si>
    <t xml:space="preserve">Mequon</t>
  </si>
  <si>
    <t xml:space="preserve">Your original sign-off stands. The club was later wired as a 27-hole facility, which added a nine that has never been mapped: Red. Map that nine only (9 greens + fairway targets) — do NOT remap Blue or White.</t>
  </si>
  <si>
    <t xml:space="preserve">north-shore-country-club-3</t>
  </si>
  <si>
    <t xml:space="preserve">MI</t>
  </si>
  <si>
    <t xml:space="preserve">Copper Hills Golf and Country Club</t>
  </si>
  <si>
    <t xml:space="preserve">Oxford</t>
  </si>
  <si>
    <t xml:space="preserve">Map — two new nines + needs a rating</t>
  </si>
  <si>
    <t xml:space="preserve">Your original sign-off stands. The club was later wired as a 27-hole facility, which added TWO nines that have never been mapped: Jungle and Marsh. Map those two only (18 greens + fairway targets) — do NOT remap Hill. Note this card also has NO rated tee at all, so it needs a rating/slope before it can ever read complete.</t>
  </si>
  <si>
    <t xml:space="preserve">9 greens on the original loop; Jungle + Marsh unmapped</t>
  </si>
  <si>
    <t xml:space="preserve">copper-hills-golf-and-country-club</t>
  </si>
  <si>
    <t xml:space="preserve">FL</t>
  </si>
  <si>
    <t xml:space="preserve">Cleveland Heights Golf Course</t>
  </si>
  <si>
    <t xml:space="preserve">Lakeland</t>
  </si>
  <si>
    <t xml:space="preserve">Map — all three nines</t>
  </si>
  <si>
    <t xml:space="preserve">Wired as a 27-hole facility (Azalea, Bougainvillea, Camellia) and NONE of the three nines has any greens. The old flat 18-hole mapping does not carry across to a wired three-nine, so all 27 greens + fairway targets need doing.</t>
  </si>
  <si>
    <t xml:space="preserve">Azalea 0/9, Bougainvillea 0/9, Camellia 0/9</t>
  </si>
  <si>
    <t xml:space="preserve">cleveland-heights-golf-course</t>
  </si>
  <si>
    <t xml:space="preserve">IN</t>
  </si>
  <si>
    <t xml:space="preserve">North Branch Golf Course</t>
  </si>
  <si>
    <t xml:space="preserve">Greensburg</t>
  </si>
  <si>
    <t xml:space="preserve">Wired as a 27-hole facility (Bridge, Meadow, Prairie) and none of the three nines has any greens. All 27 greens + fairway targets need doing.</t>
  </si>
  <si>
    <t xml:space="preserve">Bridge 0/9, Meadow 0/9, Prairie 0/9</t>
  </si>
  <si>
    <t xml:space="preserve">north-branch-golf-course</t>
  </si>
  <si>
    <t xml:space="preserve">OK</t>
  </si>
  <si>
    <t xml:space="preserve">Shangri La Golf Club</t>
  </si>
  <si>
    <t xml:space="preserve">Dennis</t>
  </si>
  <si>
    <t xml:space="preserve">Map — never mapped</t>
  </si>
  <si>
    <t xml:space="preserve">No greens at all — 0 of 18. The card and 5 rated tees are already in place, so this is a straight mapping job.</t>
  </si>
  <si>
    <t xml:space="preserve">0/18 — nothing mapped</t>
  </si>
  <si>
    <t xml:space="preserve">shangri-la-golf-club</t>
  </si>
  <si>
    <t xml:space="preserve">KY</t>
  </si>
  <si>
    <t xml:space="preserve">Perry Park Golf Resort - Antlers</t>
  </si>
  <si>
    <t xml:space="preserve">Gratz</t>
  </si>
  <si>
    <t xml:space="preserve">Map — half done</t>
  </si>
  <si>
    <t xml:space="preserve">Only 9 greens are in. Perry Park is a 27-hole three-nine facility, so confirm which nine these 9 greens belong to before mapping more — the ticket for the Whitetail entry says the GolfPass match was a combo layout, so the facility likely needs wiring before the rest is mapped.</t>
  </si>
  <si>
    <t xml:space="preserve">9 greens only</t>
  </si>
  <si>
    <t xml:space="preserve">perry-park-golf-resort-antlers</t>
  </si>
  <si>
    <t xml:space="preserve">Addison Reserve Country Club</t>
  </si>
  <si>
    <t xml:space="preserve">Delray Beach</t>
  </si>
  <si>
    <t xml:space="preserve">HOLD — do not map</t>
  </si>
  <si>
    <t xml:space="preserve">Salvation and Trepidation are stored with identical pars, hole for hole. That is the fingerprint of one nine copied onto another at import. We are checking the club’s own card before asking you to map it.</t>
  </si>
  <si>
    <t xml:space="preserve">18 greens already in</t>
  </si>
  <si>
    <t xml:space="preserve">addison-reserve-country-club</t>
  </si>
  <si>
    <t xml:space="preserve">Hickory Sticks Golf Club</t>
  </si>
  <si>
    <t xml:space="preserve">Van Wert</t>
  </si>
  <si>
    <t xml:space="preserve">Meadows and Woods are stored with identical pars, hole for hole — same copied-nine fingerprint. All three nines are already mapped, so nothing is needed from you; we are re-researching the card.</t>
  </si>
  <si>
    <t xml:space="preserve">Meadows 9/9, Mounds 9/9, Woods 9/9</t>
  </si>
  <si>
    <t xml:space="preserve">hickory-sticks-golf-club</t>
  </si>
  <si>
    <t xml:space="preserve">Riverview Highlands Golf Course</t>
  </si>
  <si>
    <t xml:space="preserve">Riverview</t>
  </si>
  <si>
    <t xml:space="preserve">Gold and Red are stored with identical pars, hole for hole — same copied-nine fingerprint. Re-researching the card first.</t>
  </si>
  <si>
    <t xml:space="preserve">riverview-highlands-golf-course</t>
  </si>
  <si>
    <t xml:space="preserve">The Legends Golf Club</t>
  </si>
  <si>
    <t xml:space="preserve">Franklin</t>
  </si>
  <si>
    <t xml:space="preserve">All three nines are stored as par 4,4,4,4,4,4,4,4,4 — a placeholder somebody left behind, not the club’s scorecard. The greens are already mapped; it is the pars that are wrong. We are re-researching all three nines.</t>
  </si>
  <si>
    <t xml:space="preserve">Creek 9/9, Middle 9/9, Road 9/9</t>
  </si>
  <si>
    <t xml:space="preserve">the-legends-golf-club-2</t>
  </si>
  <si>
    <t xml:space="preserve">White Hawk Country Club</t>
  </si>
  <si>
    <t xml:space="preserve">Crown Point</t>
  </si>
  <si>
    <t xml:space="preserve">Two of the four nines (Black and Red) are stored as placeholder par 4s, and the fourth is spelled "Sliver" with a par 6 — the name and the pars both need checking. All four nines are already mapped, so nothing is needed from you yet.</t>
  </si>
  <si>
    <t xml:space="preserve">Black 9/9, Gray 9/9, Red 9/9, Sliver 9/9</t>
  </si>
  <si>
    <t xml:space="preserve">white-hawk-country-club</t>
  </si>
  <si>
    <t xml:space="preserve">KS</t>
  </si>
  <si>
    <t xml:space="preserve">Shawnee G&amp;CC — Chapel Creek</t>
  </si>
  <si>
    <t xml:space="preserve">Shawnee</t>
  </si>
  <si>
    <t xml:space="preserve">HOLD — needs printed scorecard</t>
  </si>
  <si>
    <t xml:space="preserve">THREE-nine facility (Chapel Creek, Clear Creek, Heartland Hills), not two — Heartland Hills was missing from the group because the admin facility picker was cutting its list at 50. That is fixed. GolfPass serves the same scorecard AND the same GPS layout for two of the three nines, so we cannot wire it from there. Needs the club’s printed card.</t>
  </si>
  <si>
    <t xml:space="preserve">Not per-nine wired yet</t>
  </si>
  <si>
    <t xml:space="preserve">2026-08-28</t>
  </si>
  <si>
    <t xml:space="preserve">shawnee-golf-country-club-chapel-creek-course</t>
  </si>
  <si>
    <t xml:space="preserve">Shawnee G&amp;CC — Clear Creek</t>
  </si>
  <si>
    <t xml:space="preserve">Part of the Shawnee three-nine group. See the Chapel Creek row.</t>
  </si>
  <si>
    <t xml:space="preserve">shawnee-golf-country-club-clear-creek-course</t>
  </si>
  <si>
    <t xml:space="preserve">Shawnee G&amp;CC — Heartland Hills</t>
  </si>
  <si>
    <t xml:space="preserve">The third nine of the Shawnee facility — it was invisible in the grouping picker until this build. See the Chapel Creek row.</t>
  </si>
  <si>
    <t xml:space="preserve">shawnee-golf-country-club-heartland-hills-course</t>
  </si>
  <si>
    <t xml:space="preserve">ID</t>
  </si>
  <si>
    <t xml:space="preserve">Teton Lakes — Middle Fork</t>
  </si>
  <si>
    <t xml:space="preserve">Rexburg</t>
  </si>
  <si>
    <t xml:space="preserve">GolfPass serves the same card for Middle Fork and South Fork, and puts Middle Fork’s yardages on the North Fork page — every one of the three pages carries another nine’s numbers. Needs the printed card for all three forks.</t>
  </si>
  <si>
    <t xml:space="preserve">teton-lakes-golf-course-middle-fork</t>
  </si>
  <si>
    <t xml:space="preserve">Teton Lakes — North Fork</t>
  </si>
  <si>
    <t xml:space="preserve">Part of the Teton Lakes three-nine. See the Middle Fork row.</t>
  </si>
  <si>
    <t xml:space="preserve">teton-lakes-golf-course-north-fork</t>
  </si>
  <si>
    <t xml:space="preserve">Teton Lakes — South Fork</t>
  </si>
  <si>
    <t xml:space="preserve">teton-lakes-golf-course-south-fork</t>
  </si>
  <si>
    <t xml:space="preserve">NM</t>
  </si>
  <si>
    <t xml:space="preserve">Towa Golf Club</t>
  </si>
  <si>
    <t xml:space="preserve">Cuyamungue</t>
  </si>
  <si>
    <t xml:space="preserve">Kevin is right that it is Valley / Pinon / Boulder. GolfPass serves the same card for Pinon and Boulder, so we cannot wire it from there. Real 9-hole ratings for Pinon and Boulder are already captured on the ticket — only the pars and yardages are missing.</t>
  </si>
  <si>
    <t xml:space="preserve">towa-golf-club</t>
  </si>
  <si>
    <t xml:space="preserve">Heritage Golf Links</t>
  </si>
  <si>
    <t xml:space="preserve">Tucker</t>
  </si>
  <si>
    <t xml:space="preserve">Wire first — needs per-nine ratings</t>
  </si>
  <si>
    <t xml:space="preserve">Nothing for Kevin here: the GPS is already mapped (18 greens in) and the card has 5 rated tees. It is flagged as a multi-nine and GolfPass lists rating and slope as N/A for the individual nines, so it cannot be wired from there — the per-nine numbers have to come from the USGA course-rating database. Same blocker as Bradshaw Farm and Marietta CC.</t>
  </si>
  <si>
    <t xml:space="preserve">18 greens mapped; not per-nine wired yet</t>
  </si>
  <si>
    <t xml:space="preserve">2026-08-20</t>
  </si>
  <si>
    <t xml:space="preserve">heritage-golf-links</t>
  </si>
  <si>
    <t xml:space="preserve">Palm Aire — Oaks Course</t>
  </si>
  <si>
    <t xml:space="preserve">Pompano Beach</t>
  </si>
  <si>
    <t xml:space="preserve">Wire first — multi-course club</t>
  </si>
  <si>
    <t xml:space="preserve">"Oaks Course" is one course at Palm Aire, a multi-course club (Oaks, Cypress, Palms, Sabals), and it currently shares a single mapping with the generic Palm Aire entry. Needs multi-course wiring before mapping — we do that, not Kevin.</t>
  </si>
  <si>
    <t xml:space="preserve">18 greens shared with the Palm Aire entry</t>
  </si>
  <si>
    <t xml:space="preserve">oaks-course</t>
  </si>
  <si>
    <t xml:space="preserve">PA</t>
  </si>
  <si>
    <t xml:space="preserve">Krendale Golf Course</t>
  </si>
  <si>
    <t xml:space="preserve">Butler</t>
  </si>
  <si>
    <t xml:space="preserve">Decide — one phone call</t>
  </si>
  <si>
    <t xml:space="preserve">Kevin reports the North nine looks closed. Two public listings (GolfNow, Experience Butler County) still show Krendale as 27 holes, so we have not deleted anything. Worth noting: North is also the only unmapped nine. One call to the pro shop on 724-482-4065 settles it — if it is closed, South/West becomes a plain 18 and this closes out.</t>
  </si>
  <si>
    <t xml:space="preserve">North 0/9, South 9/9, West 9/9</t>
  </si>
  <si>
    <t xml:space="preserve">krendale-golf-course</t>
  </si>
  <si>
    <t xml:space="preserve">MA</t>
  </si>
  <si>
    <t xml:space="preserve">Willowbend CC — Bend Nine</t>
  </si>
  <si>
    <t xml:space="preserve">Mashpee</t>
  </si>
  <si>
    <t xml:space="preserve">Delete — duplicate row</t>
  </si>
  <si>
    <t xml:space="preserve">The whole facility is now wired as ONE 27-hole three-nine under "Willowbend Country Club Bay Nine" — map it there. This is a leftover duplicate library row from the import; delete it once the facility is mapped.</t>
  </si>
  <si>
    <t xml:space="preserve">Wired under the Bay Nine entry</t>
  </si>
  <si>
    <t xml:space="preserve">willowbend-country-club-bend-nine</t>
  </si>
  <si>
    <t xml:space="preserve">Willowbend CC — Bog Nine</t>
  </si>
  <si>
    <t xml:space="preserve">willowbend-country-club-bog-nine</t>
  </si>
  <si>
    <t xml:space="preserve">What the 29 open items break down into</t>
  </si>
  <si>
    <t xml:space="preserve">Courses</t>
  </si>
  <si>
    <t xml:space="preserve">Who does it</t>
  </si>
  <si>
    <t xml:space="preserve">Kevin — one tap each</t>
  </si>
  <si>
    <t xml:space="preserve">Map — new nines on a 27-hole club</t>
  </si>
  <si>
    <t xml:space="preserve">Kevin</t>
  </si>
  <si>
    <t xml:space="preserve">Kevin (+ a rating from us)</t>
  </si>
  <si>
    <t xml:space="preserve">Map — nothing mapped yet</t>
  </si>
  <si>
    <t xml:space="preserve">Map — never mapped / half done</t>
  </si>
  <si>
    <t xml:space="preserve">HOLD — card data wrong, do not map</t>
  </si>
  <si>
    <t xml:space="preserve">Us — re-research the card</t>
  </si>
  <si>
    <t xml:space="preserve">HOLD — needs the printed scorecard</t>
  </si>
  <si>
    <t xml:space="preserve">Us / a call to the club</t>
  </si>
  <si>
    <t xml:space="preserve">Us</t>
  </si>
  <si>
    <t xml:space="preserve">Us — USGA rating database</t>
  </si>
  <si>
    <t xml:space="preserve">Tyler or Kevin</t>
  </si>
  <si>
    <t xml:space="preserve">Delete — duplicate library row</t>
  </si>
  <si>
    <t xml:space="preserve">Kevin, after mapping</t>
  </si>
  <si>
    <t xml:space="preserve">TOTAL</t>
  </si>
  <si>
    <t xml:space="preserve">Of the 29, Kevin can act on the Map / Delete / Looks-done rows now — that is 14 courses. The HOLD and Wire rows are waiting on us, not on him.</t>
  </si>
  <si>
    <t xml:space="preserve">Source: live Supabase — shared:code-review-queue, shared:course-verified, shared:multinine-configs and the course_gps table, read 28 Aug 2026.</t>
  </si>
</sst>
</file>

<file path=xl/styles.xml><?xml version="1.0" encoding="utf-8"?>
<styleSheet xmlns="http://schemas.openxmlformats.org/spreadsheetml/2006/main">
  <numFmts count="2">
    <numFmt numFmtId="164" formatCode="General"/>
    <numFmt numFmtId="165" formatCode="General"/>
  </numFmts>
  <fonts count="11">
    <font>
      <sz val="11"/>
      <color theme="1"/>
      <name val="Calibri"/>
      <family val="2"/>
      <charset val="1"/>
    </font>
    <font>
      <sz val="10"/>
      <name val="Arial"/>
      <family val="0"/>
    </font>
    <font>
      <sz val="10"/>
      <name val="Arial"/>
      <family val="0"/>
    </font>
    <font>
      <sz val="10"/>
      <name val="Arial"/>
      <family val="0"/>
    </font>
    <font>
      <b val="true"/>
      <sz val="15"/>
      <name val="Arial"/>
      <family val="0"/>
      <charset val="1"/>
    </font>
    <font>
      <i val="true"/>
      <sz val="10"/>
      <color rgb="FF555555"/>
      <name val="Arial"/>
      <family val="0"/>
      <charset val="1"/>
    </font>
    <font>
      <b val="true"/>
      <sz val="10"/>
      <color rgb="FFFFFFFF"/>
      <name val="Arial"/>
      <family val="0"/>
      <charset val="1"/>
    </font>
    <font>
      <sz val="10"/>
      <name val="Arial"/>
      <family val="0"/>
      <charset val="1"/>
    </font>
    <font>
      <b val="true"/>
      <sz val="10"/>
      <name val="Arial"/>
      <family val="0"/>
      <charset val="1"/>
    </font>
    <font>
      <b val="true"/>
      <sz val="14"/>
      <name val="Arial"/>
      <family val="0"/>
      <charset val="1"/>
    </font>
    <font>
      <i val="true"/>
      <sz val="9"/>
      <color rgb="FF808080"/>
      <name val="Arial"/>
      <family val="0"/>
      <charset val="1"/>
    </font>
  </fonts>
  <fills count="9">
    <fill>
      <patternFill patternType="none"/>
    </fill>
    <fill>
      <patternFill patternType="gray125"/>
    </fill>
    <fill>
      <patternFill patternType="solid">
        <fgColor rgb="FF1F4E5F"/>
        <bgColor rgb="FF333333"/>
      </patternFill>
    </fill>
    <fill>
      <patternFill patternType="solid">
        <fgColor rgb="FFC6EFCE"/>
        <bgColor rgb="FFDDEBF7"/>
      </patternFill>
    </fill>
    <fill>
      <patternFill patternType="solid">
        <fgColor rgb="FFDDEBF7"/>
        <bgColor rgb="FFE4DFEC"/>
      </patternFill>
    </fill>
    <fill>
      <patternFill patternType="solid">
        <fgColor rgb="FFFFE699"/>
        <bgColor rgb="FFFCE4D6"/>
      </patternFill>
    </fill>
    <fill>
      <patternFill patternType="solid">
        <fgColor rgb="FFE4DFEC"/>
        <bgColor rgb="FFDDEBF7"/>
      </patternFill>
    </fill>
    <fill>
      <patternFill patternType="solid">
        <fgColor rgb="FFFCE4D6"/>
        <bgColor rgb="FFF2F2F2"/>
      </patternFill>
    </fill>
    <fill>
      <patternFill patternType="solid">
        <fgColor rgb="FFF2F2F2"/>
        <bgColor rgb="FFDDEBF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false" indent="0" shrinkToFit="false"/>
      <protection locked="true" hidden="false"/>
    </xf>
    <xf numFmtId="164" fontId="8" fillId="3" borderId="1" xfId="0" applyFont="true" applyBorder="true" applyAlignment="true" applyProtection="false">
      <alignment horizontal="left" vertical="top" textRotation="0" wrapText="true" indent="0" shrinkToFit="false"/>
      <protection locked="true" hidden="false"/>
    </xf>
    <xf numFmtId="164" fontId="8" fillId="4" borderId="1" xfId="0" applyFont="true" applyBorder="true" applyAlignment="true" applyProtection="false">
      <alignment horizontal="left" vertical="top" textRotation="0" wrapText="true" indent="0" shrinkToFit="false"/>
      <protection locked="true" hidden="false"/>
    </xf>
    <xf numFmtId="164" fontId="8" fillId="5" borderId="1" xfId="0" applyFont="true" applyBorder="true" applyAlignment="true" applyProtection="false">
      <alignment horizontal="left" vertical="top" textRotation="0" wrapText="true" indent="0" shrinkToFit="false"/>
      <protection locked="true" hidden="false"/>
    </xf>
    <xf numFmtId="164" fontId="8" fillId="6" borderId="1" xfId="0" applyFont="true" applyBorder="true" applyAlignment="true" applyProtection="false">
      <alignment horizontal="left" vertical="top" textRotation="0" wrapText="true" indent="0" shrinkToFit="false"/>
      <protection locked="true" hidden="false"/>
    </xf>
    <xf numFmtId="164" fontId="8" fillId="7" borderId="1" xfId="0" applyFont="true" applyBorder="true" applyAlignment="true" applyProtection="false">
      <alignment horizontal="left" vertical="top" textRotation="0" wrapText="true" indent="0" shrinkToFit="false"/>
      <protection locked="true" hidden="false"/>
    </xf>
    <xf numFmtId="164" fontId="8" fillId="8" borderId="1" xfId="0" applyFont="true" applyBorder="true" applyAlignment="true" applyProtection="false">
      <alignment horizontal="left"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4E5F"/>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DDEBF7"/>
          <bgColor rgb="FF000000"/>
        </patternFill>
      </fill>
    </dxf>
    <dxf>
      <fill>
        <patternFill patternType="solid">
          <fgColor rgb="FFE4DFEC"/>
          <bgColor rgb="FF000000"/>
        </patternFill>
      </fill>
    </dxf>
    <dxf>
      <fill>
        <patternFill patternType="solid">
          <fgColor rgb="FFF2F2F2"/>
          <bgColor rgb="FF000000"/>
        </patternFill>
      </fill>
    </dxf>
    <dxf>
      <fill>
        <patternFill patternType="solid">
          <fgColor rgb="FFFCE4D6"/>
          <bgColor rgb="FF000000"/>
        </patternFill>
      </fill>
    </dxf>
    <dxf>
      <fill>
        <patternFill patternType="solid">
          <fgColor rgb="FFFFE69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DDEBF7"/>
      <rgbColor rgb="FF660066"/>
      <rgbColor rgb="FFFF8080"/>
      <rgbColor rgb="FF0066CC"/>
      <rgbColor rgb="FFE4DFEC"/>
      <rgbColor rgb="FF000080"/>
      <rgbColor rgb="FFFF00FF"/>
      <rgbColor rgb="FFFFFF00"/>
      <rgbColor rgb="FF00FFFF"/>
      <rgbColor rgb="FF800080"/>
      <rgbColor rgb="FF800000"/>
      <rgbColor rgb="FF008080"/>
      <rgbColor rgb="FF0000FF"/>
      <rgbColor rgb="FF00CCFF"/>
      <rgbColor rgb="FFCCFFFF"/>
      <rgbColor rgb="FFC6EFCE"/>
      <rgbColor rgb="FFFFE699"/>
      <rgbColor rgb="FF99CCFF"/>
      <rgbColor rgb="FFFF99CC"/>
      <rgbColor rgb="FFCC99FF"/>
      <rgbColor rgb="FFFCE4D6"/>
      <rgbColor rgb="FF3366FF"/>
      <rgbColor rgb="FF33CCCC"/>
      <rgbColor rgb="FF99CC00"/>
      <rgbColor rgb="FFFFCC00"/>
      <rgbColor rgb="FFFF9900"/>
      <rgbColor rgb="FFFF6600"/>
      <rgbColor rgb="FF555555"/>
      <rgbColor rgb="FF969696"/>
      <rgbColor rgb="FF1F4E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0"/>
    <col collapsed="false" customWidth="true" hidden="false" outlineLevel="0" max="3" min="3" style="0" width="16"/>
    <col collapsed="false" customWidth="true" hidden="false" outlineLevel="0" max="4" min="4" style="0" width="30"/>
    <col collapsed="false" customWidth="true" hidden="false" outlineLevel="0" max="5" min="5" style="0" width="78"/>
    <col collapsed="false" customWidth="true" hidden="false" outlineLevel="0" max="6" min="6" style="0" width="34"/>
    <col collapsed="false" customWidth="true" hidden="false" outlineLevel="0" max="7" min="7" style="0" width="7"/>
    <col collapsed="false" customWidth="true" hidden="false" outlineLevel="0" max="8" min="8" style="0" width="9"/>
    <col collapsed="false" customWidth="true" hidden="false" outlineLevel="0" max="9" min="9" style="0" width="11"/>
    <col collapsed="false" customWidth="true" hidden="false" outlineLevel="0" max="10" min="10" style="0" width="44"/>
  </cols>
  <sheetData>
    <row r="1" customFormat="false" ht="18.55" hidden="false" customHeight="false" outlineLevel="0" collapsed="false">
      <c r="A1" s="1" t="s">
        <v>0</v>
      </c>
    </row>
    <row r="2" customFormat="false" ht="30" hidden="false" customHeight="true" outlineLevel="0" collapsed="false">
      <c r="A2" s="2" t="s">
        <v>1</v>
      </c>
      <c r="B2" s="2"/>
      <c r="C2" s="2"/>
      <c r="D2" s="2"/>
      <c r="E2" s="2"/>
      <c r="F2" s="2"/>
      <c r="G2" s="2"/>
      <c r="H2" s="2"/>
      <c r="I2" s="2"/>
      <c r="J2" s="2"/>
    </row>
    <row r="4" customFormat="false" ht="25.5" hidden="false" customHeight="true" outlineLevel="0" collapsed="false">
      <c r="A4" s="3" t="s">
        <v>2</v>
      </c>
      <c r="B4" s="3" t="s">
        <v>3</v>
      </c>
      <c r="C4" s="3" t="s">
        <v>4</v>
      </c>
      <c r="D4" s="3" t="s">
        <v>5</v>
      </c>
      <c r="E4" s="3" t="s">
        <v>6</v>
      </c>
      <c r="F4" s="3" t="s">
        <v>7</v>
      </c>
      <c r="G4" s="3" t="s">
        <v>8</v>
      </c>
      <c r="H4" s="3" t="s">
        <v>9</v>
      </c>
      <c r="I4" s="3" t="s">
        <v>10</v>
      </c>
      <c r="J4" s="3" t="s">
        <v>11</v>
      </c>
    </row>
    <row r="5" customFormat="false" ht="60" hidden="false" customHeight="true" outlineLevel="0" collapsed="false">
      <c r="A5" s="4" t="s">
        <v>12</v>
      </c>
      <c r="B5" s="5" t="s">
        <v>13</v>
      </c>
      <c r="C5" s="6" t="s">
        <v>14</v>
      </c>
      <c r="D5" s="7" t="s">
        <v>15</v>
      </c>
      <c r="E5" s="5" t="s">
        <v>16</v>
      </c>
      <c r="F5" s="5" t="s">
        <v>17</v>
      </c>
      <c r="G5" s="4" t="n">
        <v>5</v>
      </c>
      <c r="H5" s="4" t="s">
        <v>18</v>
      </c>
      <c r="I5" s="4" t="s">
        <v>19</v>
      </c>
      <c r="J5" s="6" t="s">
        <v>20</v>
      </c>
    </row>
    <row r="6" customFormat="false" ht="60" hidden="false" customHeight="true" outlineLevel="0" collapsed="false">
      <c r="A6" s="4" t="s">
        <v>21</v>
      </c>
      <c r="B6" s="5" t="s">
        <v>22</v>
      </c>
      <c r="C6" s="6" t="s">
        <v>23</v>
      </c>
      <c r="D6" s="8" t="s">
        <v>24</v>
      </c>
      <c r="E6" s="5" t="s">
        <v>25</v>
      </c>
      <c r="F6" s="5" t="s">
        <v>26</v>
      </c>
      <c r="G6" s="4" t="n">
        <v>4</v>
      </c>
      <c r="H6" s="4" t="s">
        <v>18</v>
      </c>
      <c r="I6" s="4" t="s">
        <v>19</v>
      </c>
      <c r="J6" s="6" t="s">
        <v>27</v>
      </c>
    </row>
    <row r="7" customFormat="false" ht="60" hidden="false" customHeight="true" outlineLevel="0" collapsed="false">
      <c r="A7" s="4" t="s">
        <v>28</v>
      </c>
      <c r="B7" s="5" t="s">
        <v>29</v>
      </c>
      <c r="C7" s="6" t="s">
        <v>30</v>
      </c>
      <c r="D7" s="8" t="s">
        <v>24</v>
      </c>
      <c r="E7" s="5" t="s">
        <v>31</v>
      </c>
      <c r="F7" s="5" t="s">
        <v>32</v>
      </c>
      <c r="G7" s="4" t="n">
        <v>3</v>
      </c>
      <c r="H7" s="4" t="s">
        <v>18</v>
      </c>
      <c r="I7" s="4" t="s">
        <v>19</v>
      </c>
      <c r="J7" s="6" t="s">
        <v>33</v>
      </c>
    </row>
    <row r="8" customFormat="false" ht="60" hidden="false" customHeight="true" outlineLevel="0" collapsed="false">
      <c r="A8" s="4" t="s">
        <v>28</v>
      </c>
      <c r="B8" s="5" t="s">
        <v>34</v>
      </c>
      <c r="C8" s="6" t="s">
        <v>35</v>
      </c>
      <c r="D8" s="8" t="s">
        <v>24</v>
      </c>
      <c r="E8" s="5" t="s">
        <v>36</v>
      </c>
      <c r="F8" s="5" t="s">
        <v>32</v>
      </c>
      <c r="G8" s="4" t="n">
        <v>6</v>
      </c>
      <c r="H8" s="4" t="s">
        <v>37</v>
      </c>
      <c r="I8" s="4" t="s">
        <v>19</v>
      </c>
      <c r="J8" s="6" t="s">
        <v>38</v>
      </c>
    </row>
    <row r="9" customFormat="false" ht="60" hidden="false" customHeight="true" outlineLevel="0" collapsed="false">
      <c r="A9" s="4" t="s">
        <v>39</v>
      </c>
      <c r="B9" s="5" t="s">
        <v>40</v>
      </c>
      <c r="C9" s="6" t="s">
        <v>41</v>
      </c>
      <c r="D9" s="8" t="s">
        <v>24</v>
      </c>
      <c r="E9" s="5" t="s">
        <v>31</v>
      </c>
      <c r="F9" s="5" t="s">
        <v>42</v>
      </c>
      <c r="G9" s="4" t="n">
        <v>6</v>
      </c>
      <c r="H9" s="4" t="s">
        <v>18</v>
      </c>
      <c r="I9" s="4" t="s">
        <v>19</v>
      </c>
      <c r="J9" s="6" t="s">
        <v>43</v>
      </c>
    </row>
    <row r="10" customFormat="false" ht="60" hidden="false" customHeight="true" outlineLevel="0" collapsed="false">
      <c r="A10" s="4" t="s">
        <v>44</v>
      </c>
      <c r="B10" s="5" t="s">
        <v>45</v>
      </c>
      <c r="C10" s="6" t="s">
        <v>46</v>
      </c>
      <c r="D10" s="8" t="s">
        <v>24</v>
      </c>
      <c r="E10" s="5" t="s">
        <v>47</v>
      </c>
      <c r="F10" s="5" t="s">
        <v>42</v>
      </c>
      <c r="G10" s="4" t="n">
        <v>3</v>
      </c>
      <c r="H10" s="4" t="s">
        <v>18</v>
      </c>
      <c r="I10" s="4" t="s">
        <v>19</v>
      </c>
      <c r="J10" s="6" t="s">
        <v>48</v>
      </c>
    </row>
    <row r="11" customFormat="false" ht="60" hidden="false" customHeight="true" outlineLevel="0" collapsed="false">
      <c r="A11" s="4" t="s">
        <v>49</v>
      </c>
      <c r="B11" s="5" t="s">
        <v>50</v>
      </c>
      <c r="C11" s="6" t="s">
        <v>51</v>
      </c>
      <c r="D11" s="8" t="s">
        <v>24</v>
      </c>
      <c r="E11" s="5" t="s">
        <v>52</v>
      </c>
      <c r="F11" s="5" t="s">
        <v>42</v>
      </c>
      <c r="G11" s="4" t="n">
        <v>2</v>
      </c>
      <c r="H11" s="4" t="s">
        <v>18</v>
      </c>
      <c r="I11" s="4" t="s">
        <v>19</v>
      </c>
      <c r="J11" s="6" t="s">
        <v>53</v>
      </c>
    </row>
    <row r="12" customFormat="false" ht="60" hidden="false" customHeight="true" outlineLevel="0" collapsed="false">
      <c r="A12" s="4" t="s">
        <v>54</v>
      </c>
      <c r="B12" s="5" t="s">
        <v>55</v>
      </c>
      <c r="C12" s="6" t="s">
        <v>56</v>
      </c>
      <c r="D12" s="8" t="s">
        <v>57</v>
      </c>
      <c r="E12" s="5" t="s">
        <v>58</v>
      </c>
      <c r="F12" s="5" t="s">
        <v>59</v>
      </c>
      <c r="G12" s="4" t="n">
        <v>0</v>
      </c>
      <c r="H12" s="4" t="s">
        <v>18</v>
      </c>
      <c r="I12" s="4" t="s">
        <v>19</v>
      </c>
      <c r="J12" s="6" t="s">
        <v>60</v>
      </c>
    </row>
    <row r="13" customFormat="false" ht="60" hidden="false" customHeight="true" outlineLevel="0" collapsed="false">
      <c r="A13" s="4" t="s">
        <v>61</v>
      </c>
      <c r="B13" s="5" t="s">
        <v>62</v>
      </c>
      <c r="C13" s="6" t="s">
        <v>63</v>
      </c>
      <c r="D13" s="8" t="s">
        <v>64</v>
      </c>
      <c r="E13" s="5" t="s">
        <v>65</v>
      </c>
      <c r="F13" s="5" t="s">
        <v>66</v>
      </c>
      <c r="G13" s="4" t="n">
        <v>3</v>
      </c>
      <c r="H13" s="4" t="s">
        <v>18</v>
      </c>
      <c r="I13" s="4" t="s">
        <v>19</v>
      </c>
      <c r="J13" s="6" t="s">
        <v>67</v>
      </c>
    </row>
    <row r="14" customFormat="false" ht="60" hidden="false" customHeight="true" outlineLevel="0" collapsed="false">
      <c r="A14" s="4" t="s">
        <v>68</v>
      </c>
      <c r="B14" s="5" t="s">
        <v>69</v>
      </c>
      <c r="C14" s="6" t="s">
        <v>70</v>
      </c>
      <c r="D14" s="8" t="s">
        <v>64</v>
      </c>
      <c r="E14" s="5" t="s">
        <v>71</v>
      </c>
      <c r="F14" s="5" t="s">
        <v>72</v>
      </c>
      <c r="G14" s="4" t="n">
        <v>3</v>
      </c>
      <c r="H14" s="4" t="s">
        <v>18</v>
      </c>
      <c r="I14" s="4" t="s">
        <v>19</v>
      </c>
      <c r="J14" s="6" t="s">
        <v>73</v>
      </c>
    </row>
    <row r="15" customFormat="false" ht="60" hidden="false" customHeight="true" outlineLevel="0" collapsed="false">
      <c r="A15" s="4" t="s">
        <v>74</v>
      </c>
      <c r="B15" s="5" t="s">
        <v>75</v>
      </c>
      <c r="C15" s="6" t="s">
        <v>76</v>
      </c>
      <c r="D15" s="8" t="s">
        <v>77</v>
      </c>
      <c r="E15" s="5" t="s">
        <v>78</v>
      </c>
      <c r="F15" s="5" t="s">
        <v>79</v>
      </c>
      <c r="G15" s="4" t="n">
        <v>5</v>
      </c>
      <c r="H15" s="4" t="s">
        <v>18</v>
      </c>
      <c r="I15" s="4" t="s">
        <v>19</v>
      </c>
      <c r="J15" s="6" t="s">
        <v>80</v>
      </c>
    </row>
    <row r="16" customFormat="false" ht="60" hidden="false" customHeight="true" outlineLevel="0" collapsed="false">
      <c r="A16" s="4" t="s">
        <v>81</v>
      </c>
      <c r="B16" s="5" t="s">
        <v>82</v>
      </c>
      <c r="C16" s="6" t="s">
        <v>83</v>
      </c>
      <c r="D16" s="8" t="s">
        <v>84</v>
      </c>
      <c r="E16" s="5" t="s">
        <v>85</v>
      </c>
      <c r="F16" s="5" t="s">
        <v>86</v>
      </c>
      <c r="G16" s="4" t="n">
        <v>1</v>
      </c>
      <c r="H16" s="4" t="s">
        <v>18</v>
      </c>
      <c r="I16" s="4" t="s">
        <v>19</v>
      </c>
      <c r="J16" s="6" t="s">
        <v>87</v>
      </c>
    </row>
    <row r="17" customFormat="false" ht="60" hidden="false" customHeight="true" outlineLevel="0" collapsed="false">
      <c r="A17" s="4" t="s">
        <v>61</v>
      </c>
      <c r="B17" s="5" t="s">
        <v>88</v>
      </c>
      <c r="C17" s="6" t="s">
        <v>89</v>
      </c>
      <c r="D17" s="9" t="s">
        <v>90</v>
      </c>
      <c r="E17" s="5" t="s">
        <v>91</v>
      </c>
      <c r="F17" s="5" t="s">
        <v>92</v>
      </c>
      <c r="G17" s="4" t="n">
        <v>9</v>
      </c>
      <c r="H17" s="4" t="s">
        <v>18</v>
      </c>
      <c r="I17" s="4" t="s">
        <v>19</v>
      </c>
      <c r="J17" s="6" t="s">
        <v>93</v>
      </c>
    </row>
    <row r="18" customFormat="false" ht="60" hidden="false" customHeight="true" outlineLevel="0" collapsed="false">
      <c r="A18" s="4" t="s">
        <v>44</v>
      </c>
      <c r="B18" s="5" t="s">
        <v>94</v>
      </c>
      <c r="C18" s="6" t="s">
        <v>95</v>
      </c>
      <c r="D18" s="9" t="s">
        <v>90</v>
      </c>
      <c r="E18" s="5" t="s">
        <v>96</v>
      </c>
      <c r="F18" s="5" t="s">
        <v>97</v>
      </c>
      <c r="G18" s="4" t="n">
        <v>4</v>
      </c>
      <c r="H18" s="4" t="s">
        <v>18</v>
      </c>
      <c r="I18" s="4" t="s">
        <v>19</v>
      </c>
      <c r="J18" s="6" t="s">
        <v>98</v>
      </c>
    </row>
    <row r="19" customFormat="false" ht="60" hidden="false" customHeight="true" outlineLevel="0" collapsed="false">
      <c r="A19" s="4" t="s">
        <v>54</v>
      </c>
      <c r="B19" s="5" t="s">
        <v>99</v>
      </c>
      <c r="C19" s="6" t="s">
        <v>100</v>
      </c>
      <c r="D19" s="9" t="s">
        <v>90</v>
      </c>
      <c r="E19" s="5" t="s">
        <v>101</v>
      </c>
      <c r="F19" s="5" t="s">
        <v>92</v>
      </c>
      <c r="G19" s="4" t="n">
        <v>4</v>
      </c>
      <c r="H19" s="4" t="s">
        <v>18</v>
      </c>
      <c r="I19" s="4" t="s">
        <v>19</v>
      </c>
      <c r="J19" s="6" t="s">
        <v>102</v>
      </c>
    </row>
    <row r="20" customFormat="false" ht="60" hidden="false" customHeight="true" outlineLevel="0" collapsed="false">
      <c r="A20" s="4" t="s">
        <v>68</v>
      </c>
      <c r="B20" s="5" t="s">
        <v>103</v>
      </c>
      <c r="C20" s="6" t="s">
        <v>104</v>
      </c>
      <c r="D20" s="9" t="s">
        <v>90</v>
      </c>
      <c r="E20" s="5" t="s">
        <v>105</v>
      </c>
      <c r="F20" s="5" t="s">
        <v>106</v>
      </c>
      <c r="G20" s="4" t="n">
        <v>5</v>
      </c>
      <c r="H20" s="4" t="s">
        <v>37</v>
      </c>
      <c r="I20" s="4" t="s">
        <v>19</v>
      </c>
      <c r="J20" s="6" t="s">
        <v>107</v>
      </c>
    </row>
    <row r="21" customFormat="false" ht="60" hidden="false" customHeight="true" outlineLevel="0" collapsed="false">
      <c r="A21" s="4" t="s">
        <v>68</v>
      </c>
      <c r="B21" s="5" t="s">
        <v>108</v>
      </c>
      <c r="C21" s="6" t="s">
        <v>109</v>
      </c>
      <c r="D21" s="9" t="s">
        <v>90</v>
      </c>
      <c r="E21" s="5" t="s">
        <v>110</v>
      </c>
      <c r="F21" s="5" t="s">
        <v>111</v>
      </c>
      <c r="G21" s="4" t="n">
        <v>3</v>
      </c>
      <c r="H21" s="4" t="s">
        <v>18</v>
      </c>
      <c r="I21" s="4" t="s">
        <v>19</v>
      </c>
      <c r="J21" s="6" t="s">
        <v>112</v>
      </c>
    </row>
    <row r="22" customFormat="false" ht="60" hidden="false" customHeight="true" outlineLevel="0" collapsed="false">
      <c r="A22" s="4" t="s">
        <v>113</v>
      </c>
      <c r="B22" s="5" t="s">
        <v>114</v>
      </c>
      <c r="C22" s="6" t="s">
        <v>115</v>
      </c>
      <c r="D22" s="9" t="s">
        <v>116</v>
      </c>
      <c r="E22" s="5" t="s">
        <v>117</v>
      </c>
      <c r="F22" s="5" t="s">
        <v>118</v>
      </c>
      <c r="G22" s="4" t="n">
        <v>1</v>
      </c>
      <c r="H22" s="4" t="s">
        <v>37</v>
      </c>
      <c r="I22" s="4" t="s">
        <v>119</v>
      </c>
      <c r="J22" s="6" t="s">
        <v>120</v>
      </c>
    </row>
    <row r="23" customFormat="false" ht="60" hidden="false" customHeight="true" outlineLevel="0" collapsed="false">
      <c r="A23" s="4" t="s">
        <v>113</v>
      </c>
      <c r="B23" s="5" t="s">
        <v>121</v>
      </c>
      <c r="C23" s="6" t="s">
        <v>115</v>
      </c>
      <c r="D23" s="9" t="s">
        <v>116</v>
      </c>
      <c r="E23" s="5" t="s">
        <v>122</v>
      </c>
      <c r="F23" s="5" t="s">
        <v>118</v>
      </c>
      <c r="G23" s="4" t="n">
        <v>1</v>
      </c>
      <c r="H23" s="4" t="s">
        <v>37</v>
      </c>
      <c r="I23" s="4" t="s">
        <v>119</v>
      </c>
      <c r="J23" s="6" t="s">
        <v>123</v>
      </c>
    </row>
    <row r="24" customFormat="false" ht="60" hidden="false" customHeight="true" outlineLevel="0" collapsed="false">
      <c r="A24" s="4" t="s">
        <v>113</v>
      </c>
      <c r="B24" s="5" t="s">
        <v>124</v>
      </c>
      <c r="C24" s="6" t="s">
        <v>115</v>
      </c>
      <c r="D24" s="9" t="s">
        <v>116</v>
      </c>
      <c r="E24" s="5" t="s">
        <v>125</v>
      </c>
      <c r="F24" s="5" t="s">
        <v>118</v>
      </c>
      <c r="G24" s="4" t="n">
        <v>1</v>
      </c>
      <c r="H24" s="4" t="s">
        <v>37</v>
      </c>
      <c r="I24" s="4" t="s">
        <v>119</v>
      </c>
      <c r="J24" s="6" t="s">
        <v>126</v>
      </c>
    </row>
    <row r="25" customFormat="false" ht="60" hidden="false" customHeight="true" outlineLevel="0" collapsed="false">
      <c r="A25" s="4" t="s">
        <v>127</v>
      </c>
      <c r="B25" s="5" t="s">
        <v>128</v>
      </c>
      <c r="C25" s="6" t="s">
        <v>129</v>
      </c>
      <c r="D25" s="9" t="s">
        <v>116</v>
      </c>
      <c r="E25" s="5" t="s">
        <v>130</v>
      </c>
      <c r="F25" s="5" t="s">
        <v>118</v>
      </c>
      <c r="G25" s="4" t="n">
        <v>1</v>
      </c>
      <c r="H25" s="4" t="s">
        <v>37</v>
      </c>
      <c r="I25" s="4" t="s">
        <v>119</v>
      </c>
      <c r="J25" s="6" t="s">
        <v>131</v>
      </c>
    </row>
    <row r="26" customFormat="false" ht="60" hidden="false" customHeight="true" outlineLevel="0" collapsed="false">
      <c r="A26" s="4" t="s">
        <v>127</v>
      </c>
      <c r="B26" s="5" t="s">
        <v>132</v>
      </c>
      <c r="C26" s="6" t="s">
        <v>129</v>
      </c>
      <c r="D26" s="9" t="s">
        <v>116</v>
      </c>
      <c r="E26" s="5" t="s">
        <v>133</v>
      </c>
      <c r="F26" s="5" t="s">
        <v>118</v>
      </c>
      <c r="G26" s="4" t="n">
        <v>1</v>
      </c>
      <c r="H26" s="4" t="s">
        <v>37</v>
      </c>
      <c r="I26" s="4" t="s">
        <v>119</v>
      </c>
      <c r="J26" s="6" t="s">
        <v>134</v>
      </c>
    </row>
    <row r="27" customFormat="false" ht="60" hidden="false" customHeight="true" outlineLevel="0" collapsed="false">
      <c r="A27" s="4" t="s">
        <v>127</v>
      </c>
      <c r="B27" s="5" t="s">
        <v>135</v>
      </c>
      <c r="C27" s="6" t="s">
        <v>129</v>
      </c>
      <c r="D27" s="9" t="s">
        <v>116</v>
      </c>
      <c r="E27" s="5" t="s">
        <v>133</v>
      </c>
      <c r="F27" s="5" t="s">
        <v>118</v>
      </c>
      <c r="G27" s="4" t="n">
        <v>1</v>
      </c>
      <c r="H27" s="4" t="s">
        <v>37</v>
      </c>
      <c r="I27" s="4" t="s">
        <v>119</v>
      </c>
      <c r="J27" s="6" t="s">
        <v>136</v>
      </c>
    </row>
    <row r="28" customFormat="false" ht="60" hidden="false" customHeight="true" outlineLevel="0" collapsed="false">
      <c r="A28" s="4" t="s">
        <v>137</v>
      </c>
      <c r="B28" s="5" t="s">
        <v>138</v>
      </c>
      <c r="C28" s="6" t="s">
        <v>139</v>
      </c>
      <c r="D28" s="9" t="s">
        <v>116</v>
      </c>
      <c r="E28" s="5" t="s">
        <v>140</v>
      </c>
      <c r="F28" s="5" t="s">
        <v>118</v>
      </c>
      <c r="G28" s="4" t="n">
        <v>5</v>
      </c>
      <c r="H28" s="4" t="s">
        <v>37</v>
      </c>
      <c r="I28" s="4" t="s">
        <v>119</v>
      </c>
      <c r="J28" s="6" t="s">
        <v>141</v>
      </c>
    </row>
    <row r="29" customFormat="false" ht="60" hidden="false" customHeight="true" outlineLevel="0" collapsed="false">
      <c r="A29" s="4" t="s">
        <v>21</v>
      </c>
      <c r="B29" s="5" t="s">
        <v>142</v>
      </c>
      <c r="C29" s="6" t="s">
        <v>143</v>
      </c>
      <c r="D29" s="10" t="s">
        <v>144</v>
      </c>
      <c r="E29" s="5" t="s">
        <v>145</v>
      </c>
      <c r="F29" s="5" t="s">
        <v>146</v>
      </c>
      <c r="G29" s="4" t="n">
        <v>5</v>
      </c>
      <c r="H29" s="4" t="s">
        <v>37</v>
      </c>
      <c r="I29" s="4" t="s">
        <v>147</v>
      </c>
      <c r="J29" s="6" t="s">
        <v>148</v>
      </c>
    </row>
    <row r="30" customFormat="false" ht="60" hidden="false" customHeight="true" outlineLevel="0" collapsed="false">
      <c r="A30" s="4" t="s">
        <v>61</v>
      </c>
      <c r="B30" s="5" t="s">
        <v>149</v>
      </c>
      <c r="C30" s="6" t="s">
        <v>150</v>
      </c>
      <c r="D30" s="10" t="s">
        <v>151</v>
      </c>
      <c r="E30" s="5" t="s">
        <v>152</v>
      </c>
      <c r="F30" s="5" t="s">
        <v>153</v>
      </c>
      <c r="G30" s="4" t="n">
        <v>5</v>
      </c>
      <c r="H30" s="4" t="s">
        <v>37</v>
      </c>
      <c r="I30" s="4" t="s">
        <v>19</v>
      </c>
      <c r="J30" s="6" t="s">
        <v>154</v>
      </c>
    </row>
    <row r="31" customFormat="false" ht="60" hidden="false" customHeight="true" outlineLevel="0" collapsed="false">
      <c r="A31" s="4" t="s">
        <v>155</v>
      </c>
      <c r="B31" s="5" t="s">
        <v>156</v>
      </c>
      <c r="C31" s="6" t="s">
        <v>157</v>
      </c>
      <c r="D31" s="11" t="s">
        <v>158</v>
      </c>
      <c r="E31" s="5" t="s">
        <v>159</v>
      </c>
      <c r="F31" s="5" t="s">
        <v>160</v>
      </c>
      <c r="G31" s="4" t="n">
        <v>3</v>
      </c>
      <c r="H31" s="4" t="s">
        <v>37</v>
      </c>
      <c r="I31" s="4" t="s">
        <v>119</v>
      </c>
      <c r="J31" s="6" t="s">
        <v>161</v>
      </c>
    </row>
    <row r="32" customFormat="false" ht="60" hidden="false" customHeight="true" outlineLevel="0" collapsed="false">
      <c r="A32" s="4" t="s">
        <v>162</v>
      </c>
      <c r="B32" s="5" t="s">
        <v>163</v>
      </c>
      <c r="C32" s="6" t="s">
        <v>164</v>
      </c>
      <c r="D32" s="12" t="s">
        <v>165</v>
      </c>
      <c r="E32" s="5" t="s">
        <v>166</v>
      </c>
      <c r="F32" s="5" t="s">
        <v>167</v>
      </c>
      <c r="G32" s="4" t="n">
        <v>1</v>
      </c>
      <c r="H32" s="4" t="s">
        <v>37</v>
      </c>
      <c r="I32" s="4" t="s">
        <v>119</v>
      </c>
      <c r="J32" s="6" t="s">
        <v>168</v>
      </c>
    </row>
    <row r="33" customFormat="false" ht="60" hidden="false" customHeight="true" outlineLevel="0" collapsed="false">
      <c r="A33" s="4" t="s">
        <v>162</v>
      </c>
      <c r="B33" s="5" t="s">
        <v>169</v>
      </c>
      <c r="C33" s="6" t="s">
        <v>164</v>
      </c>
      <c r="D33" s="12" t="s">
        <v>165</v>
      </c>
      <c r="E33" s="5" t="s">
        <v>166</v>
      </c>
      <c r="F33" s="5" t="s">
        <v>167</v>
      </c>
      <c r="G33" s="4" t="n">
        <v>1</v>
      </c>
      <c r="H33" s="4" t="s">
        <v>37</v>
      </c>
      <c r="I33" s="4" t="s">
        <v>119</v>
      </c>
      <c r="J33" s="6" t="s">
        <v>170</v>
      </c>
    </row>
  </sheetData>
  <autoFilter ref="A4:J33"/>
  <mergeCells count="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0"/>
    <col collapsed="false" customWidth="true" hidden="false" outlineLevel="0" max="3" min="3" style="0" width="28"/>
  </cols>
  <sheetData>
    <row r="1" customFormat="false" ht="17.35" hidden="false" customHeight="false" outlineLevel="0" collapsed="false">
      <c r="A1" s="13" t="s">
        <v>171</v>
      </c>
    </row>
    <row r="3" customFormat="false" ht="15" hidden="false" customHeight="false" outlineLevel="0" collapsed="false">
      <c r="A3" s="14" t="s">
        <v>5</v>
      </c>
      <c r="B3" s="14" t="s">
        <v>172</v>
      </c>
      <c r="C3" s="14" t="s">
        <v>173</v>
      </c>
    </row>
    <row r="4" customFormat="false" ht="15" hidden="false" customHeight="false" outlineLevel="0" collapsed="false">
      <c r="A4" s="15" t="s">
        <v>15</v>
      </c>
      <c r="B4" s="16" t="n">
        <f aca="false">COUNTIF('Work list'!$D$5:$D$33,"Looks done*")</f>
        <v>1</v>
      </c>
      <c r="C4" s="15" t="s">
        <v>174</v>
      </c>
    </row>
    <row r="5" customFormat="false" ht="15" hidden="false" customHeight="false" outlineLevel="0" collapsed="false">
      <c r="A5" s="15" t="s">
        <v>175</v>
      </c>
      <c r="B5" s="16" t="n">
        <f aca="false">COUNTIF('Work list'!$D$5:$D$33,"Map — one new nine*")</f>
        <v>6</v>
      </c>
      <c r="C5" s="15" t="s">
        <v>176</v>
      </c>
    </row>
    <row r="6" customFormat="false" ht="15" hidden="false" customHeight="false" outlineLevel="0" collapsed="false">
      <c r="A6" s="15" t="s">
        <v>57</v>
      </c>
      <c r="B6" s="16" t="n">
        <f aca="false">COUNTIF('Work list'!$D$5:$D$33,"Map — two new nines*")</f>
        <v>1</v>
      </c>
      <c r="C6" s="15" t="s">
        <v>177</v>
      </c>
    </row>
    <row r="7" customFormat="false" ht="15" hidden="false" customHeight="false" outlineLevel="0" collapsed="false">
      <c r="A7" s="15" t="s">
        <v>178</v>
      </c>
      <c r="B7" s="16" t="n">
        <f aca="false">COUNTIF('Work list'!$D$5:$D$33,"Map — all three nines*")</f>
        <v>2</v>
      </c>
      <c r="C7" s="15" t="s">
        <v>176</v>
      </c>
    </row>
    <row r="8" customFormat="false" ht="15" hidden="false" customHeight="false" outlineLevel="0" collapsed="false">
      <c r="A8" s="15" t="s">
        <v>179</v>
      </c>
      <c r="B8" s="16" t="n">
        <f aca="false">COUNTIF('Work list'!$D$5:$D$33,"Map — never mapped*")</f>
        <v>1</v>
      </c>
      <c r="C8" s="15" t="s">
        <v>176</v>
      </c>
    </row>
    <row r="9" customFormat="false" ht="15" hidden="false" customHeight="false" outlineLevel="0" collapsed="false">
      <c r="A9" s="15" t="s">
        <v>84</v>
      </c>
      <c r="B9" s="16" t="n">
        <f aca="false">COUNTIF('Work list'!$D$5:$D$33,"Map — half done*")</f>
        <v>1</v>
      </c>
      <c r="C9" s="15" t="s">
        <v>176</v>
      </c>
    </row>
    <row r="10" customFormat="false" ht="15" hidden="false" customHeight="false" outlineLevel="0" collapsed="false">
      <c r="A10" s="15" t="s">
        <v>180</v>
      </c>
      <c r="B10" s="16" t="n">
        <f aca="false">COUNTIF('Work list'!$D$5:$D$33,"HOLD — do not map*")</f>
        <v>5</v>
      </c>
      <c r="C10" s="15" t="s">
        <v>181</v>
      </c>
    </row>
    <row r="11" customFormat="false" ht="15" hidden="false" customHeight="false" outlineLevel="0" collapsed="false">
      <c r="A11" s="15" t="s">
        <v>182</v>
      </c>
      <c r="B11" s="16" t="n">
        <f aca="false">COUNTIF('Work list'!$D$5:$D$33,"HOLD — needs printed*")</f>
        <v>7</v>
      </c>
      <c r="C11" s="15" t="s">
        <v>183</v>
      </c>
    </row>
    <row r="12" customFormat="false" ht="15" hidden="false" customHeight="false" outlineLevel="0" collapsed="false">
      <c r="A12" s="15" t="s">
        <v>151</v>
      </c>
      <c r="B12" s="16" t="n">
        <f aca="false">COUNTIF('Work list'!$D$5:$D$33,"Wire first — multi-course club")</f>
        <v>1</v>
      </c>
      <c r="C12" s="15" t="s">
        <v>184</v>
      </c>
    </row>
    <row r="13" customFormat="false" ht="15" hidden="false" customHeight="false" outlineLevel="0" collapsed="false">
      <c r="A13" s="15" t="s">
        <v>144</v>
      </c>
      <c r="B13" s="16" t="n">
        <f aca="false">COUNTIF('Work list'!$D$5:$D$33,"Wire first — needs per-nine ratings")</f>
        <v>1</v>
      </c>
      <c r="C13" s="15" t="s">
        <v>185</v>
      </c>
    </row>
    <row r="14" customFormat="false" ht="15" hidden="false" customHeight="false" outlineLevel="0" collapsed="false">
      <c r="A14" s="15" t="s">
        <v>158</v>
      </c>
      <c r="B14" s="16" t="n">
        <f aca="false">COUNTIF('Work list'!$D$5:$D$33,"Decide*")</f>
        <v>1</v>
      </c>
      <c r="C14" s="15" t="s">
        <v>186</v>
      </c>
    </row>
    <row r="15" customFormat="false" ht="15" hidden="false" customHeight="false" outlineLevel="0" collapsed="false">
      <c r="A15" s="15" t="s">
        <v>187</v>
      </c>
      <c r="B15" s="16" t="n">
        <f aca="false">COUNTIF('Work list'!$D$5:$D$33,"Delete*")</f>
        <v>2</v>
      </c>
      <c r="C15" s="15" t="s">
        <v>188</v>
      </c>
    </row>
    <row r="16" customFormat="false" ht="15" hidden="false" customHeight="false" outlineLevel="0" collapsed="false">
      <c r="A16" s="17" t="s">
        <v>189</v>
      </c>
      <c r="B16" s="18" t="n">
        <f aca="false">SUM(B4:B15)</f>
        <v>29</v>
      </c>
    </row>
    <row r="18" customFormat="false" ht="15" hidden="false" customHeight="false" outlineLevel="0" collapsed="false">
      <c r="A18" s="19" t="s">
        <v>190</v>
      </c>
    </row>
    <row r="20" customFormat="false" ht="15" hidden="false" customHeight="false" outlineLevel="0" collapsed="false">
      <c r="A20" s="20" t="s">
        <v>191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2026-08-28T16:45:07Z</dcterms:created>
  <dc:creator>openpyxl</dc:creator>
  <dc:description/>
  <dc:language>en-US</dc:language>
  <cp:lastModifiedBy/>
  <dcterms:modified xsi:type="dcterms:W3CDTF">2026-08-28T16:45:07Z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